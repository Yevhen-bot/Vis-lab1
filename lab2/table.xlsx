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tel\.vscode\projects\python\Visualization\lab2\"/>
    </mc:Choice>
  </mc:AlternateContent>
  <xr:revisionPtr revIDLastSave="0" documentId="13_ncr:1_{4711BA77-DC1D-4D9C-92D1-65EE9A7FD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віт про стійкість 1" sheetId="2" r:id="rId1"/>
    <sheet name="Аркуш1" sheetId="1" r:id="rId2"/>
  </sheets>
  <definedNames>
    <definedName name="solver_adj" localSheetId="1" hidden="1">Аркуш1!$I$4:$L$4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Аркуш1!$I$8</definedName>
    <definedName name="solver_lhs2" localSheetId="1" hidden="1">Аркуш1!$J$8</definedName>
    <definedName name="solver_lhs3" localSheetId="1" hidden="1">Аркуш1!$K$8</definedName>
    <definedName name="solver_lhs4" localSheetId="1" hidden="1">Аркуш1!$L$8</definedName>
    <definedName name="solver_lhs5" localSheetId="1" hidden="1">Аркуш1!$M$8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Аркуш1!$J$6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hs1" localSheetId="1" hidden="1">Аркуш1!$G$3</definedName>
    <definedName name="solver_rhs2" localSheetId="1" hidden="1">Аркуш1!$G$4</definedName>
    <definedName name="solver_rhs3" localSheetId="1" hidden="1">Аркуш1!$G$5</definedName>
    <definedName name="solver_rhs4" localSheetId="1" hidden="1">Аркуш1!$G$6</definedName>
    <definedName name="solver_rhs5" localSheetId="1" hidden="1">Аркуш1!$G$7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L8" i="1"/>
  <c r="K8" i="1"/>
  <c r="J8" i="1"/>
  <c r="I8" i="1"/>
  <c r="J6" i="1"/>
</calcChain>
</file>

<file path=xl/sharedStrings.xml><?xml version="1.0" encoding="utf-8"?>
<sst xmlns="http://schemas.openxmlformats.org/spreadsheetml/2006/main" count="66" uniqueCount="54">
  <si>
    <t>Ресурс / Показник</t>
  </si>
  <si>
    <t>Буклет</t>
  </si>
  <si>
    <t>Каталог</t>
  </si>
  <si>
    <t>Календар</t>
  </si>
  <si>
    <t>Плакат</t>
  </si>
  <si>
    <t>ЗАПАС</t>
  </si>
  <si>
    <t>Крейдований папір, кг</t>
  </si>
  <si>
    <t>Офсетний папір, кг</t>
  </si>
  <si>
    <t>Фарба, кг</t>
  </si>
  <si>
    <t>Друкарська машина, год</t>
  </si>
  <si>
    <t>Різка й фальцювання, год</t>
  </si>
  <si>
    <t>Прибуток з одиниці</t>
  </si>
  <si>
    <t>x1</t>
  </si>
  <si>
    <t>x2</t>
  </si>
  <si>
    <t>x3</t>
  </si>
  <si>
    <t>x4</t>
  </si>
  <si>
    <t>Цільова функція:</t>
  </si>
  <si>
    <t>Змінні</t>
  </si>
  <si>
    <t>Обмеження</t>
  </si>
  <si>
    <t>Microsoft Excel 16.0 Звіт про стійкість</t>
  </si>
  <si>
    <t>Аркуш: [table.xlsx]Аркуш1</t>
  </si>
  <si>
    <t>Звіт створено: 25.09.2026 16:03:40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</si>
  <si>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</si>
  <si>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</si>
  <si>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</si>
  <si>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</si>
  <si>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</si>
  <si>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</si>
  <si>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</si>
  <si>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</si>
  <si>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</si>
  <si>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</si>
  <si>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</si>
  <si>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</si>
  <si>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Тінь</t>
  </si>
  <si>
    <t>Ціна</t>
  </si>
  <si>
    <t>Права сторона</t>
  </si>
  <si>
    <t>$I$4</t>
  </si>
  <si>
    <t>Офсетний папір, кг x1</t>
  </si>
  <si>
    <t>$J$4</t>
  </si>
  <si>
    <t>Офсетний папір, кг x2</t>
  </si>
  <si>
    <t>$K$4</t>
  </si>
  <si>
    <t>Офсетний папір, кг x3</t>
  </si>
  <si>
    <t>$L$4</t>
  </si>
  <si>
    <t>Офсетний папір, кг x4</t>
  </si>
  <si>
    <t>$I$8</t>
  </si>
  <si>
    <t>Прибуток з одиниці Обмеження</t>
  </si>
  <si>
    <t>$J$8</t>
  </si>
  <si>
    <t>Прибуток з одиниці x2</t>
  </si>
  <si>
    <t>$K$8</t>
  </si>
  <si>
    <t>Прибуток з одиниці x3</t>
  </si>
  <si>
    <t>$L$8</t>
  </si>
  <si>
    <t>Прибуток з одиниці x4</t>
  </si>
  <si>
    <t>$M$8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</si>
</sst>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5" xfId="0" applyFill="1" applyBorder="1" applyAlignment="1"/>
    <xf numFmtId="0" fontId="0" fillId="0" borderId="6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BE61-F207-4C9F-99FD-685E5F03A8F5}">
  <dimension ref="A1:H21"/>
  <sheetViews>
    <sheetView showGridLines="0" tabSelected="1" topLeftCell="A6" workbookViewId="0">
      <selection activeCell="J27" sqref="J27"/>
    </sheetView>
  </sheetViews>
  <sheetFormatPr defaultRowHeight="14.4" x14ac:dyDescent="0.3"/>
  <cols>
    <col min="1" max="1" width="2.33203125" customWidth="1"/>
    <col min="2" max="2" width="8.5546875" bestFit="1" customWidth="1"/>
    <col min="3" max="3" width="29.21875" bestFit="1" customWidth="1"/>
    <col min="4" max="4" width="12" bestFit="1" customWidth="1"/>
    <col min="5" max="5" width="12.6640625" bestFit="1" customWidth="1"/>
    <col min="6" max="6" width="15.44140625" bestFit="1" customWidth="1"/>
    <col min="7" max="8" width="12" bestFit="1" customWidth="1"/>
  </cols>
  <sheetData>
    <row r="1" spans="1:8" x14ac:dyDescent="0.3">
      <c r="A1" s="6" t="s">
        <v>19</v>
      </c>
    </row>
    <row r="2" spans="1:8" x14ac:dyDescent="0.3">
      <c r="A2" s="6" t="s">
        <v>20</v>
      </c>
    </row>
    <row r="3" spans="1:8" x14ac:dyDescent="0.3">
      <c r="A3" s="6" t="s">
        <v>21</v>
      </c>
    </row>
    <row r="6" spans="1:8" ht="15" thickBot="1" x14ac:dyDescent="0.35">
      <c r="A6" t="s">
        <v>22</v>
      </c>
    </row>
    <row r="7" spans="1:8" x14ac:dyDescent="0.3">
      <c r="B7" s="9"/>
      <c r="C7" s="9"/>
      <c r="D7" s="9" t="s">
        <v>25</v>
      </c>
      <c r="E7" s="9" t="s">
        <v>27</v>
      </c>
      <c r="F7" s="9" t="s">
        <v>29</v>
      </c>
      <c r="G7" s="9" t="s">
        <v>31</v>
      </c>
      <c r="H7" s="9" t="s">
        <v>31</v>
      </c>
    </row>
    <row r="8" spans="1:8" ht="15" thickBot="1" x14ac:dyDescent="0.35">
      <c r="B8" s="10" t="s">
        <v>23</v>
      </c>
      <c r="C8" s="10" t="s">
        <v>24</v>
      </c>
      <c r="D8" s="10" t="s">
        <v>26</v>
      </c>
      <c r="E8" s="10" t="s">
        <v>28</v>
      </c>
      <c r="F8" s="10" t="s">
        <v>30</v>
      </c>
      <c r="G8" s="10" t="s">
        <v>32</v>
      </c>
      <c r="H8" s="10" t="s">
        <v>33</v>
      </c>
    </row>
    <row r="9" spans="1:8" x14ac:dyDescent="0.3">
      <c r="B9" s="7" t="s">
        <v>37</v>
      </c>
      <c r="C9" s="7" t="s">
        <v>38</v>
      </c>
      <c r="D9" s="7">
        <v>88.041666666666671</v>
      </c>
      <c r="E9" s="7">
        <v>0</v>
      </c>
      <c r="F9" s="7">
        <v>60</v>
      </c>
      <c r="G9" s="7">
        <v>32</v>
      </c>
      <c r="H9" s="7">
        <v>28.000000000000007</v>
      </c>
    </row>
    <row r="10" spans="1:8" x14ac:dyDescent="0.3">
      <c r="B10" s="7" t="s">
        <v>39</v>
      </c>
      <c r="C10" s="7" t="s">
        <v>40</v>
      </c>
      <c r="D10" s="7">
        <v>0</v>
      </c>
      <c r="E10" s="7">
        <v>-19.166666666666664</v>
      </c>
      <c r="F10" s="7">
        <v>25</v>
      </c>
      <c r="G10" s="7">
        <v>19.166666666666664</v>
      </c>
      <c r="H10" s="7">
        <v>1E+30</v>
      </c>
    </row>
    <row r="11" spans="1:8" x14ac:dyDescent="0.3">
      <c r="B11" s="7" t="s">
        <v>41</v>
      </c>
      <c r="C11" s="7" t="s">
        <v>42</v>
      </c>
      <c r="D11" s="7">
        <v>263.47916666666669</v>
      </c>
      <c r="E11" s="7">
        <v>0</v>
      </c>
      <c r="F11" s="7">
        <v>59</v>
      </c>
      <c r="G11" s="7">
        <v>56.000000000000014</v>
      </c>
      <c r="H11" s="7">
        <v>26.285714285714285</v>
      </c>
    </row>
    <row r="12" spans="1:8" ht="15" thickBot="1" x14ac:dyDescent="0.35">
      <c r="B12" s="8" t="s">
        <v>43</v>
      </c>
      <c r="C12" s="8" t="s">
        <v>44</v>
      </c>
      <c r="D12" s="8">
        <v>4.8958333333333268</v>
      </c>
      <c r="E12" s="8">
        <v>0</v>
      </c>
      <c r="F12" s="8">
        <v>25</v>
      </c>
      <c r="G12" s="8">
        <v>268</v>
      </c>
      <c r="H12" s="8">
        <v>12.799999999999999</v>
      </c>
    </row>
    <row r="14" spans="1:8" ht="15" thickBot="1" x14ac:dyDescent="0.35">
      <c r="A14" t="s">
        <v>18</v>
      </c>
    </row>
    <row r="15" spans="1:8" x14ac:dyDescent="0.3">
      <c r="B15" s="9"/>
      <c r="C15" s="9"/>
      <c r="D15" s="9" t="s">
        <v>25</v>
      </c>
      <c r="E15" s="9" t="s">
        <v>34</v>
      </c>
      <c r="F15" s="9" t="s">
        <v>18</v>
      </c>
      <c r="G15" s="9" t="s">
        <v>31</v>
      </c>
      <c r="H15" s="9" t="s">
        <v>31</v>
      </c>
    </row>
    <row r="16" spans="1:8" ht="15" thickBot="1" x14ac:dyDescent="0.35">
      <c r="B16" s="10" t="s">
        <v>23</v>
      </c>
      <c r="C16" s="10" t="s">
        <v>24</v>
      </c>
      <c r="D16" s="10" t="s">
        <v>26</v>
      </c>
      <c r="E16" s="10" t="s">
        <v>35</v>
      </c>
      <c r="F16" s="10" t="s">
        <v>36</v>
      </c>
      <c r="G16" s="10" t="s">
        <v>32</v>
      </c>
      <c r="H16" s="10" t="s">
        <v>33</v>
      </c>
    </row>
    <row r="17" spans="2:8" x14ac:dyDescent="0.3">
      <c r="B17" s="7" t="s">
        <v>45</v>
      </c>
      <c r="C17" s="7" t="s">
        <v>46</v>
      </c>
      <c r="D17" s="7">
        <v>991</v>
      </c>
      <c r="E17" s="7">
        <v>0</v>
      </c>
      <c r="F17" s="7">
        <v>1279</v>
      </c>
      <c r="G17" s="7">
        <v>1E+30</v>
      </c>
      <c r="H17" s="7">
        <v>288.00000000000006</v>
      </c>
    </row>
    <row r="18" spans="2:8" x14ac:dyDescent="0.3">
      <c r="B18" s="7" t="s">
        <v>47</v>
      </c>
      <c r="C18" s="7" t="s">
        <v>48</v>
      </c>
      <c r="D18" s="7">
        <v>293.49999999999994</v>
      </c>
      <c r="E18" s="7">
        <v>0</v>
      </c>
      <c r="F18" s="7">
        <v>761</v>
      </c>
      <c r="G18" s="7">
        <v>1E+30</v>
      </c>
      <c r="H18" s="7">
        <v>467.50000000000006</v>
      </c>
    </row>
    <row r="19" spans="2:8" x14ac:dyDescent="0.3">
      <c r="B19" s="7" t="s">
        <v>49</v>
      </c>
      <c r="C19" s="7" t="s">
        <v>50</v>
      </c>
      <c r="D19" s="7">
        <v>376</v>
      </c>
      <c r="E19" s="7">
        <v>2.6666666666666661</v>
      </c>
      <c r="F19" s="7">
        <v>376</v>
      </c>
      <c r="G19" s="7">
        <v>288.00000000000011</v>
      </c>
      <c r="H19" s="7">
        <v>23.499999999999972</v>
      </c>
    </row>
    <row r="20" spans="2:8" x14ac:dyDescent="0.3">
      <c r="B20" s="7" t="s">
        <v>51</v>
      </c>
      <c r="C20" s="7" t="s">
        <v>52</v>
      </c>
      <c r="D20" s="7">
        <v>1230</v>
      </c>
      <c r="E20" s="7">
        <v>11.166666666666666</v>
      </c>
      <c r="F20" s="7">
        <v>1230</v>
      </c>
      <c r="G20" s="7">
        <v>117.49999999999984</v>
      </c>
      <c r="H20" s="7">
        <v>903.357142857143</v>
      </c>
    </row>
    <row r="21" spans="2:8" ht="15" thickBot="1" x14ac:dyDescent="0.35">
      <c r="B21" s="8" t="s">
        <v>53</v>
      </c>
      <c r="C21" s="8" t="s">
        <v>11</v>
      </c>
      <c r="D21" s="8">
        <v>1065.0000000000002</v>
      </c>
      <c r="E21" s="8">
        <v>5.8333333333333339</v>
      </c>
      <c r="F21" s="8">
        <v>1065</v>
      </c>
      <c r="G21" s="8">
        <v>234.99999999999974</v>
      </c>
      <c r="H21" s="8">
        <v>422.60000000000008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8"/>
  <sheetViews>
    <sheetView workbookViewId="0">
      <selection activeCell="J6" sqref="J6"/>
    </sheetView>
  </sheetViews>
  <sheetFormatPr defaultRowHeight="14.4" x14ac:dyDescent="0.3"/>
  <cols>
    <col min="2" max="2" width="22.109375" customWidth="1"/>
    <col min="3" max="4" width="13.88671875" customWidth="1"/>
    <col min="5" max="5" width="13.5546875" customWidth="1"/>
    <col min="6" max="6" width="10.109375" customWidth="1"/>
    <col min="7" max="7" width="11" customWidth="1"/>
    <col min="9" max="9" width="16" customWidth="1"/>
    <col min="10" max="10" width="9.33203125" customWidth="1"/>
    <col min="11" max="11" width="15.44140625" customWidth="1"/>
    <col min="12" max="12" width="16.33203125" customWidth="1"/>
  </cols>
  <sheetData>
    <row r="1" spans="2:13" ht="15" thickBot="1" x14ac:dyDescent="0.35"/>
    <row r="2" spans="2:13" ht="15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5" t="s">
        <v>17</v>
      </c>
      <c r="J2" s="5"/>
      <c r="K2" s="5"/>
      <c r="L2" s="5"/>
    </row>
    <row r="3" spans="2:13" ht="28.2" thickBot="1" x14ac:dyDescent="0.35">
      <c r="B3" s="2" t="s">
        <v>6</v>
      </c>
      <c r="C3" s="2">
        <v>2</v>
      </c>
      <c r="D3" s="2">
        <v>1</v>
      </c>
      <c r="E3" s="2">
        <v>3</v>
      </c>
      <c r="F3" s="2">
        <v>5</v>
      </c>
      <c r="G3" s="2">
        <v>1279</v>
      </c>
      <c r="I3" s="3" t="s">
        <v>12</v>
      </c>
      <c r="J3" s="3" t="s">
        <v>13</v>
      </c>
      <c r="K3" s="3" t="s">
        <v>14</v>
      </c>
      <c r="L3" s="3" t="s">
        <v>15</v>
      </c>
    </row>
    <row r="4" spans="2:13" ht="15" thickBot="1" x14ac:dyDescent="0.35">
      <c r="B4" s="2" t="s">
        <v>7</v>
      </c>
      <c r="C4" s="2">
        <v>3</v>
      </c>
      <c r="D4" s="2">
        <v>1</v>
      </c>
      <c r="E4" s="2">
        <v>0</v>
      </c>
      <c r="F4" s="2">
        <v>6</v>
      </c>
      <c r="G4" s="2">
        <v>761</v>
      </c>
      <c r="I4" s="4">
        <v>88.041666666666671</v>
      </c>
      <c r="J4" s="4">
        <v>0</v>
      </c>
      <c r="K4" s="4">
        <v>263.47916666666669</v>
      </c>
      <c r="L4" s="4">
        <v>4.8958333333333268</v>
      </c>
    </row>
    <row r="5" spans="2:13" ht="15" thickBot="1" x14ac:dyDescent="0.35">
      <c r="B5" s="2" t="s">
        <v>8</v>
      </c>
      <c r="C5" s="2">
        <v>1</v>
      </c>
      <c r="D5" s="2">
        <v>6</v>
      </c>
      <c r="E5" s="2">
        <v>1</v>
      </c>
      <c r="F5" s="2">
        <v>5</v>
      </c>
      <c r="G5" s="2">
        <v>376</v>
      </c>
    </row>
    <row r="6" spans="2:13" ht="28.2" thickBot="1" x14ac:dyDescent="0.35">
      <c r="B6" s="2" t="s">
        <v>9</v>
      </c>
      <c r="C6" s="2">
        <v>2</v>
      </c>
      <c r="D6" s="2">
        <v>2</v>
      </c>
      <c r="E6" s="2">
        <v>4</v>
      </c>
      <c r="F6" s="2">
        <v>0</v>
      </c>
      <c r="G6" s="2">
        <v>1230</v>
      </c>
      <c r="I6" t="s">
        <v>16</v>
      </c>
      <c r="J6">
        <f>I4*C8+D8*J4+E8*K4+L4*F8</f>
        <v>20950.166666666668</v>
      </c>
    </row>
    <row r="7" spans="2:13" ht="28.2" thickBot="1" x14ac:dyDescent="0.35">
      <c r="B7" s="2" t="s">
        <v>10</v>
      </c>
      <c r="C7" s="2">
        <v>6</v>
      </c>
      <c r="D7" s="2">
        <v>1</v>
      </c>
      <c r="E7" s="2">
        <v>2</v>
      </c>
      <c r="F7" s="2">
        <v>2</v>
      </c>
      <c r="G7" s="2">
        <v>1065</v>
      </c>
      <c r="I7" s="5" t="s">
        <v>18</v>
      </c>
      <c r="J7" s="5"/>
      <c r="K7" s="5"/>
      <c r="L7" s="5"/>
      <c r="M7" s="5"/>
    </row>
    <row r="8" spans="2:13" ht="15" thickBot="1" x14ac:dyDescent="0.35">
      <c r="B8" s="2" t="s">
        <v>11</v>
      </c>
      <c r="C8" s="2">
        <v>60</v>
      </c>
      <c r="D8" s="2">
        <v>25</v>
      </c>
      <c r="E8" s="2">
        <v>59</v>
      </c>
      <c r="F8" s="2">
        <v>25</v>
      </c>
      <c r="G8" s="2"/>
      <c r="I8">
        <f>C3*I4+D3*J4+E3*K4+L4*F3</f>
        <v>991</v>
      </c>
      <c r="J8">
        <f>C4*I4+D4*J4+E4*K4+L4*F4</f>
        <v>293.49999999999994</v>
      </c>
      <c r="K8">
        <f>C5*I4+D5*J4+E5*K4+L4*F5</f>
        <v>376</v>
      </c>
      <c r="L8">
        <f>C6*I4+D6*J4+E6*K4+L4*F6</f>
        <v>1230</v>
      </c>
      <c r="M8">
        <f>C7*I4+D7*J4+E7*K4+L4*F7</f>
        <v>1065.0000000000002</v>
      </c>
    </row>
  </sheetData>
  <mergeCells count="2">
    <mergeCell ref="I2:L2"/>
    <mergeCell ref="I7:M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1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Євген Кутельмах</dc:creator>
  <cp:lastModifiedBy>Євген Кутельмах</cp:lastModifiedBy>
  <dcterms:created xsi:type="dcterms:W3CDTF">2015-06-05T18:19:34Z</dcterms:created>
  <dcterms:modified xsi:type="dcterms:W3CDTF">2026-09-25T17:02:24Z</dcterms:modified>
</cp:coreProperties>
</file>